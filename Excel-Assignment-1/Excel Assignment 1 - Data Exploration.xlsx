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Entri Data Analytics Course\Assignment Task\"/>
    </mc:Choice>
  </mc:AlternateContent>
  <xr:revisionPtr revIDLastSave="0" documentId="13_ncr:1_{E284F520-8718-4613-B6F1-ADF779703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M20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<sst xmlns="http://schemas.openxmlformats.org/spreadsheetml/2006/main" count="155" uniqueCount="106">
  <si>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</si>
  <si>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</si>
  <si>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</si>
  <si>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</si>
  <si>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</si>
  <si>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</si>
  <si>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</si>
  <si>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</si>
  <si>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</si>
  <si>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</si>
  <si>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</si>
  <si>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</si>
  <si>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</si>
  <si>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</si>
  <si>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</si>
  <si>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</si>
  <si>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</si>
  <si>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</si>
  <si>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</si>
  <si>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</si>
  <si>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</si>
  <si>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</si>
  <si>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</si>
  <si>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</si>
  <si>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</si>
  <si>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</si>
  <si>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</si>
  <si>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</si>
  <si>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</si>
  <si>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</si>
  <si>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</si>
  <si>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</si>
  <si>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</si>
  <si>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</si>
  <si>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</si>
  <si>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</si>
  <si>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</si>
  <si>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</si>
  <si>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</si>
  <si>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</si>
  <si>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</si>
  <si>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</si>
  <si>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</si>
  <si>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</si>
  <si>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</si>
  <si>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</si>
  <si>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</si>
  <si>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</si>
  <si>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</si>
  <si>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</si>
  <si>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</si>
  <si>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</si>
  <si>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</si>
  <si>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</si>
  <si>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</si>
  <si>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</si>
  <si>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</si>
  <si>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</si>
  <si>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</si>
  <si>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</si>
  <si>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</si>
  <si>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</si>
  <si>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</si>
  <si>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</si>
  <si>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</si>
  <si>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</si>
  <si>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</si>
  <si>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</si>
  <si>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</si>
  <si>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</si>
  <si>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</si>
  <si>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</si>
  <si>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</si>
  <si>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</si>
  <si>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</si>
  <si>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</si>
  <si>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</si>
  <si>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</si>
  <si>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</si>
  <si>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</si>
  <si>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</si>
  <si>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</si>
  <si>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</si>
  <si>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</si>
  <si>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</si>
  <si>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</si>
  <si>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</si>
  <si>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</si>
  <si>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</si>
  <si>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</si>
  <si>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</si>
  <si>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</si>
  <si>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</si>
  <si>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Analysis</t>
  </si>
  <si>
    <t>Total Price</t>
  </si>
  <si>
    <t>Product Count</t>
  </si>
  <si>
    <t>Average Price</t>
  </si>
  <si>
    <t>Minimum Price</t>
  </si>
  <si>
    <t>Maximum Price</t>
  </si>
  <si>
    <t>Electronics Total Price</t>
  </si>
  <si>
    <t>Products Below $100</t>
  </si>
  <si>
    <t>Results</t>
  </si>
  <si>
    <t xml:space="preserve">Price Range </t>
  </si>
  <si>
    <t>Day</t>
  </si>
  <si>
    <t xml:space="preserve">Month 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</si>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</sst>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79998168889431442"/>
        <bgColor theme="6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6" tint="0.39997558519241921"/>
      </bottom>
      <diagonal/>
    </border>
    <border>
      <left style="thin">
        <color theme="0"/>
      </left>
      <right style="thin">
        <color theme="6" tint="0.39997558519241921"/>
      </right>
      <top style="thin">
        <color theme="0"/>
      </top>
      <bottom style="thin">
        <color theme="6" tint="0.39997558519241921"/>
      </bottom>
      <diagonal/>
    </border>
    <border>
      <left style="thin">
        <color theme="0"/>
      </left>
      <right style="thin">
        <color theme="6" tint="0.39997558519241921"/>
      </right>
      <top style="thick">
        <color theme="0"/>
      </top>
      <bottom/>
      <diagonal/>
    </border>
    <border>
      <left style="thin">
        <color theme="0"/>
      </left>
      <right style="thin">
        <color theme="6" tint="0.39997558519241921"/>
      </right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6" borderId="1" xfId="0" applyFont="1" applyFill="1" applyBorder="1"/>
    <xf numFmtId="0" fontId="3" fillId="5" borderId="3" xfId="0" applyFont="1" applyFill="1" applyBorder="1"/>
    <xf numFmtId="0" fontId="4" fillId="5" borderId="2" xfId="0" applyFont="1" applyFill="1" applyBorder="1"/>
    <xf numFmtId="0" fontId="3" fillId="6" borderId="4" xfId="0" applyFont="1" applyFill="1" applyBorder="1"/>
    <xf numFmtId="0" fontId="3" fillId="5" borderId="4" xfId="0" applyFont="1" applyFill="1" applyBorder="1"/>
    <xf numFmtId="0" fontId="4" fillId="5" borderId="1" xfId="0" applyFont="1" applyFill="1" applyBorder="1"/>
    <xf numFmtId="0" fontId="4" fillId="7" borderId="2" xfId="0" applyFont="1" applyFill="1" applyBorder="1"/>
    <xf numFmtId="0" fontId="4" fillId="7" borderId="7" xfId="0" applyFont="1" applyFill="1" applyBorder="1"/>
    <xf numFmtId="0" fontId="4" fillId="0" borderId="1" xfId="0" applyFont="1" applyBorder="1"/>
    <xf numFmtId="0" fontId="4" fillId="0" borderId="8" xfId="0" applyFont="1" applyBorder="1"/>
    <xf numFmtId="0" fontId="4" fillId="7" borderId="1" xfId="0" applyFont="1" applyFill="1" applyBorder="1"/>
    <xf numFmtId="0" fontId="4" fillId="7" borderId="8" xfId="0" applyFont="1" applyFill="1" applyBorder="1"/>
    <xf numFmtId="0" fontId="4" fillId="0" borderId="5" xfId="0" applyFont="1" applyBorder="1"/>
    <xf numFmtId="0" fontId="4" fillId="0" borderId="6" xfId="0" applyFont="1" applyBorder="1"/>
    <xf numFmtId="2" fontId="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zoomScale="70" zoomScaleNormal="70" workbookViewId="0">
      <selection activeCell="R12" sqref="R12"/>
    </sheetView>
  </sheetViews>
  <sheetFormatPr defaultColWidth="12.6640625" defaultRowHeight="15" customHeight="1" x14ac:dyDescent="0.25"/>
  <cols>
    <col min="2" max="2" width="14.109375" customWidth="1"/>
    <col min="8" max="9" width="22" customWidth="1"/>
    <col min="11" max="11" width="18.33203125" customWidth="1"/>
    <col min="14" max="14" width="15.109375" customWidth="1"/>
  </cols>
  <sheetData>
    <row r="1" spans="1:14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93</v>
      </c>
      <c r="I1" s="1" t="s">
        <v>101</v>
      </c>
      <c r="J1" s="1"/>
      <c r="K1" s="1" t="s">
        <v>102</v>
      </c>
      <c r="L1" s="1" t="s">
        <v>103</v>
      </c>
      <c r="M1" s="1" t="s">
        <v>104</v>
      </c>
      <c r="N1" s="1" t="s">
        <v>105</v>
      </c>
    </row>
    <row r="2" spans="1:14" ht="15.75" customHeight="1" thickTop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H2" s="6" t="s">
        <v>94</v>
      </c>
      <c r="I2" s="7">
        <f>SUM(D2:D35)</f>
        <v>10100</v>
      </c>
      <c r="K2" s="11" t="str">
        <f>IF(D2&gt;=500,"High Price","Standard Price")</f>
        <v>High Price</v>
      </c>
      <c r="L2" s="11" t="str">
        <f>LEFT(A2,2)</f>
        <v>28</v>
      </c>
      <c r="M2" s="11" t="str">
        <f>MID(A2,4,3)</f>
        <v>JAN</v>
      </c>
      <c r="N2" s="12" t="str">
        <f>RIGHT(A2,2)</f>
        <v>US</v>
      </c>
    </row>
    <row r="3" spans="1:14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"/>
      <c r="H3" s="8" t="s">
        <v>95</v>
      </c>
      <c r="I3" s="5">
        <f>COUNT(D2:D35)</f>
        <v>34</v>
      </c>
      <c r="K3" s="13" t="str">
        <f t="shared" ref="K3:K35" si="0">IF(D3&gt;=500,"High Price","Standard Price")</f>
        <v>Standard Price</v>
      </c>
      <c r="L3" s="13" t="str">
        <f t="shared" ref="L3:L35" si="1">LEFT(A3,2)</f>
        <v>15</v>
      </c>
      <c r="M3" s="13" t="str">
        <f t="shared" ref="M3:M35" si="2">MID(A3,4,3)</f>
        <v>FEB</v>
      </c>
      <c r="N3" s="14" t="str">
        <f t="shared" ref="N3:N35" si="3">RIGHT(A3,2)</f>
        <v>US</v>
      </c>
    </row>
    <row r="4" spans="1:14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"/>
      <c r="H4" s="9" t="s">
        <v>96</v>
      </c>
      <c r="I4" s="19">
        <f>AVERAGE(D2:D35)</f>
        <v>297.05882352941177</v>
      </c>
      <c r="K4" s="15" t="str">
        <f t="shared" si="0"/>
        <v>Standard Price</v>
      </c>
      <c r="L4" s="15" t="str">
        <f t="shared" si="1"/>
        <v>03</v>
      </c>
      <c r="M4" s="15" t="str">
        <f t="shared" si="2"/>
        <v>MAR</v>
      </c>
      <c r="N4" s="16" t="str">
        <f t="shared" si="3"/>
        <v>US</v>
      </c>
    </row>
    <row r="5" spans="1:14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"/>
      <c r="H5" s="8" t="s">
        <v>97</v>
      </c>
      <c r="I5" s="5">
        <f>MIN(D2:D35)</f>
        <v>30</v>
      </c>
      <c r="K5" s="13" t="str">
        <f t="shared" si="0"/>
        <v>High Price</v>
      </c>
      <c r="L5" s="13" t="str">
        <f t="shared" si="1"/>
        <v>11</v>
      </c>
      <c r="M5" s="13" t="str">
        <f t="shared" si="2"/>
        <v>APR</v>
      </c>
      <c r="N5" s="14" t="str">
        <f t="shared" si="3"/>
        <v>US</v>
      </c>
    </row>
    <row r="6" spans="1:14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"/>
      <c r="H6" s="9" t="s">
        <v>98</v>
      </c>
      <c r="I6" s="10">
        <f>MAX(D2:D35)</f>
        <v>1000</v>
      </c>
      <c r="K6" s="15" t="str">
        <f t="shared" si="0"/>
        <v>Standard Price</v>
      </c>
      <c r="L6" s="15" t="str">
        <f t="shared" si="1"/>
        <v>22</v>
      </c>
      <c r="M6" s="15" t="str">
        <f t="shared" si="2"/>
        <v>MAY</v>
      </c>
      <c r="N6" s="16" t="str">
        <f t="shared" si="3"/>
        <v>US</v>
      </c>
    </row>
    <row r="7" spans="1:14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"/>
      <c r="H7" s="8" t="s">
        <v>99</v>
      </c>
      <c r="I7" s="5">
        <f>SUMIF(F2:F35,"Electronics",D2:D35)</f>
        <v>8050</v>
      </c>
      <c r="K7" s="13" t="str">
        <f t="shared" si="0"/>
        <v>Standard Price</v>
      </c>
      <c r="L7" s="13" t="str">
        <f t="shared" si="1"/>
        <v>07</v>
      </c>
      <c r="M7" s="13" t="str">
        <f t="shared" si="2"/>
        <v>JUN</v>
      </c>
      <c r="N7" s="14" t="str">
        <f t="shared" si="3"/>
        <v>UK</v>
      </c>
    </row>
    <row r="8" spans="1:14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"/>
      <c r="H8" s="9" t="s">
        <v>100</v>
      </c>
      <c r="I8" s="10">
        <f>COUNTIF(D2:D35,"&lt;100")</f>
        <v>11</v>
      </c>
      <c r="K8" s="15" t="str">
        <f t="shared" si="0"/>
        <v>Standard Price</v>
      </c>
      <c r="L8" s="15" t="str">
        <f t="shared" si="1"/>
        <v>19</v>
      </c>
      <c r="M8" s="15" t="str">
        <f t="shared" si="2"/>
        <v>JUL</v>
      </c>
      <c r="N8" s="16" t="str">
        <f t="shared" si="3"/>
        <v>UK</v>
      </c>
    </row>
    <row r="9" spans="1:14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"/>
      <c r="K9" s="13" t="str">
        <f t="shared" si="0"/>
        <v>Standard Price</v>
      </c>
      <c r="L9" s="13" t="str">
        <f t="shared" si="1"/>
        <v>23</v>
      </c>
      <c r="M9" s="13" t="str">
        <f t="shared" si="2"/>
        <v>AUG</v>
      </c>
      <c r="N9" s="14" t="str">
        <f t="shared" si="3"/>
        <v>UK</v>
      </c>
    </row>
    <row r="10" spans="1:14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"/>
      <c r="K10" s="15" t="str">
        <f t="shared" si="0"/>
        <v>High Price</v>
      </c>
      <c r="L10" s="15" t="str">
        <f t="shared" si="1"/>
        <v>05</v>
      </c>
      <c r="M10" s="15" t="str">
        <f t="shared" si="2"/>
        <v>SEP</v>
      </c>
      <c r="N10" s="16" t="str">
        <f t="shared" si="3"/>
        <v>UK</v>
      </c>
    </row>
    <row r="11" spans="1:14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"/>
      <c r="K11" s="13" t="str">
        <f t="shared" si="0"/>
        <v>Standard Price</v>
      </c>
      <c r="L11" s="13" t="str">
        <f t="shared" si="1"/>
        <v>14</v>
      </c>
      <c r="M11" s="13" t="str">
        <f t="shared" si="2"/>
        <v>OCT</v>
      </c>
      <c r="N11" s="14" t="str">
        <f t="shared" si="3"/>
        <v>UK</v>
      </c>
    </row>
    <row r="12" spans="1:14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"/>
      <c r="K12" s="15" t="str">
        <f t="shared" si="0"/>
        <v>High Price</v>
      </c>
      <c r="L12" s="15" t="str">
        <f t="shared" si="1"/>
        <v>17</v>
      </c>
      <c r="M12" s="15" t="str">
        <f t="shared" si="2"/>
        <v>JUN</v>
      </c>
      <c r="N12" s="16" t="str">
        <f t="shared" si="3"/>
        <v>IN</v>
      </c>
    </row>
    <row r="13" spans="1:14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"/>
      <c r="K13" s="13" t="str">
        <f t="shared" si="0"/>
        <v>Standard Price</v>
      </c>
      <c r="L13" s="13" t="str">
        <f t="shared" si="1"/>
        <v>25</v>
      </c>
      <c r="M13" s="13" t="str">
        <f t="shared" si="2"/>
        <v>NOV</v>
      </c>
      <c r="N13" s="14" t="str">
        <f t="shared" si="3"/>
        <v>AU</v>
      </c>
    </row>
    <row r="14" spans="1:14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"/>
      <c r="K14" s="15" t="str">
        <f t="shared" si="0"/>
        <v>Standard Price</v>
      </c>
      <c r="L14" s="15" t="str">
        <f t="shared" si="1"/>
        <v>08</v>
      </c>
      <c r="M14" s="15" t="str">
        <f t="shared" si="2"/>
        <v>DEC</v>
      </c>
      <c r="N14" s="16" t="str">
        <f t="shared" si="3"/>
        <v>DE</v>
      </c>
    </row>
    <row r="15" spans="1:14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"/>
      <c r="K15" s="13" t="str">
        <f t="shared" si="0"/>
        <v>Standard Price</v>
      </c>
      <c r="L15" s="13" t="str">
        <f t="shared" si="1"/>
        <v>18</v>
      </c>
      <c r="M15" s="13" t="str">
        <f t="shared" si="2"/>
        <v>FEB</v>
      </c>
      <c r="N15" s="14" t="str">
        <f t="shared" si="3"/>
        <v>CA</v>
      </c>
    </row>
    <row r="16" spans="1:14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"/>
      <c r="K16" s="15" t="str">
        <f t="shared" si="0"/>
        <v>Standard Price</v>
      </c>
      <c r="L16" s="15" t="str">
        <f t="shared" si="1"/>
        <v>16</v>
      </c>
      <c r="M16" s="15" t="str">
        <f t="shared" si="2"/>
        <v>APR</v>
      </c>
      <c r="N16" s="16" t="str">
        <f t="shared" si="3"/>
        <v>ES</v>
      </c>
    </row>
    <row r="17" spans="1:14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"/>
      <c r="K17" s="13" t="str">
        <f t="shared" si="0"/>
        <v>Standard Price</v>
      </c>
      <c r="L17" s="13" t="str">
        <f t="shared" si="1"/>
        <v>21</v>
      </c>
      <c r="M17" s="13" t="str">
        <f t="shared" si="2"/>
        <v>AUG</v>
      </c>
      <c r="N17" s="14" t="str">
        <f t="shared" si="3"/>
        <v>CA</v>
      </c>
    </row>
    <row r="18" spans="1:14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"/>
      <c r="K18" s="15" t="str">
        <f t="shared" si="0"/>
        <v>Standard Price</v>
      </c>
      <c r="L18" s="15" t="str">
        <f t="shared" si="1"/>
        <v>20</v>
      </c>
      <c r="M18" s="15" t="str">
        <f t="shared" si="2"/>
        <v>AUG</v>
      </c>
      <c r="N18" s="16" t="str">
        <f t="shared" si="3"/>
        <v>CN</v>
      </c>
    </row>
    <row r="19" spans="1:14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"/>
      <c r="K19" s="13" t="str">
        <f t="shared" si="0"/>
        <v>High Price</v>
      </c>
      <c r="L19" s="13" t="str">
        <f t="shared" si="1"/>
        <v>27</v>
      </c>
      <c r="M19" s="13" t="str">
        <f t="shared" si="2"/>
        <v>JAN</v>
      </c>
      <c r="N19" s="14" t="str">
        <f t="shared" si="3"/>
        <v>IT</v>
      </c>
    </row>
    <row r="20" spans="1:14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"/>
      <c r="K20" s="15" t="str">
        <f t="shared" si="0"/>
        <v>Standard Price</v>
      </c>
      <c r="L20" s="15" t="str">
        <f t="shared" si="1"/>
        <v>01</v>
      </c>
      <c r="M20" s="15" t="str">
        <f t="shared" si="2"/>
        <v>MAR</v>
      </c>
      <c r="N20" s="16" t="str">
        <f t="shared" si="3"/>
        <v>UK</v>
      </c>
    </row>
    <row r="21" spans="1:14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"/>
      <c r="K21" s="13" t="str">
        <f t="shared" si="0"/>
        <v>Standard Price</v>
      </c>
      <c r="L21" s="13" t="str">
        <f t="shared" si="1"/>
        <v>14</v>
      </c>
      <c r="M21" s="13" t="str">
        <f t="shared" si="2"/>
        <v>AUG</v>
      </c>
      <c r="N21" s="14" t="str">
        <f t="shared" si="3"/>
        <v>US</v>
      </c>
    </row>
    <row r="22" spans="1:14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"/>
      <c r="K22" s="15" t="str">
        <f t="shared" si="0"/>
        <v>High Price</v>
      </c>
      <c r="L22" s="15" t="str">
        <f t="shared" si="1"/>
        <v>14</v>
      </c>
      <c r="M22" s="15" t="str">
        <f t="shared" si="2"/>
        <v>MAY</v>
      </c>
      <c r="N22" s="16" t="str">
        <f t="shared" si="3"/>
        <v>RU</v>
      </c>
    </row>
    <row r="23" spans="1:14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"/>
      <c r="K23" s="13" t="str">
        <f t="shared" si="0"/>
        <v>Standard Price</v>
      </c>
      <c r="L23" s="13" t="str">
        <f t="shared" si="1"/>
        <v>09</v>
      </c>
      <c r="M23" s="13" t="str">
        <f t="shared" si="2"/>
        <v>JAN</v>
      </c>
      <c r="N23" s="14" t="str">
        <f t="shared" si="3"/>
        <v>CA</v>
      </c>
    </row>
    <row r="24" spans="1:14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"/>
      <c r="K24" s="15" t="str">
        <f t="shared" si="0"/>
        <v>Standard Price</v>
      </c>
      <c r="L24" s="15" t="str">
        <f t="shared" si="1"/>
        <v>19</v>
      </c>
      <c r="M24" s="15" t="str">
        <f t="shared" si="2"/>
        <v>JUL</v>
      </c>
      <c r="N24" s="16" t="str">
        <f t="shared" si="3"/>
        <v>BR</v>
      </c>
    </row>
    <row r="25" spans="1:14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4"/>
      <c r="K25" s="13" t="str">
        <f t="shared" si="0"/>
        <v>Standard Price</v>
      </c>
      <c r="L25" s="13" t="str">
        <f t="shared" si="1"/>
        <v>21</v>
      </c>
      <c r="M25" s="13" t="str">
        <f t="shared" si="2"/>
        <v>AUG</v>
      </c>
      <c r="N25" s="14" t="str">
        <f t="shared" si="3"/>
        <v>CA</v>
      </c>
    </row>
    <row r="26" spans="1:14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"/>
      <c r="K26" s="15" t="str">
        <f t="shared" si="0"/>
        <v>High Price</v>
      </c>
      <c r="L26" s="15" t="str">
        <f t="shared" si="1"/>
        <v>29</v>
      </c>
      <c r="M26" s="15" t="str">
        <f t="shared" si="2"/>
        <v>SEP</v>
      </c>
      <c r="N26" s="16" t="str">
        <f t="shared" si="3"/>
        <v>CA</v>
      </c>
    </row>
    <row r="27" spans="1:14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"/>
      <c r="K27" s="13" t="str">
        <f t="shared" si="0"/>
        <v>Standard Price</v>
      </c>
      <c r="L27" s="13" t="str">
        <f t="shared" si="1"/>
        <v>03</v>
      </c>
      <c r="M27" s="13" t="str">
        <f t="shared" si="2"/>
        <v>JUN</v>
      </c>
      <c r="N27" s="14" t="str">
        <f t="shared" si="3"/>
        <v>CA</v>
      </c>
    </row>
    <row r="28" spans="1:14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"/>
      <c r="K28" s="15" t="str">
        <f t="shared" si="0"/>
        <v>Standard Price</v>
      </c>
      <c r="L28" s="15" t="str">
        <f t="shared" si="1"/>
        <v>11</v>
      </c>
      <c r="M28" s="15" t="str">
        <f t="shared" si="2"/>
        <v>JUL</v>
      </c>
      <c r="N28" s="16" t="str">
        <f t="shared" si="3"/>
        <v>CA</v>
      </c>
    </row>
    <row r="29" spans="1:14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4"/>
      <c r="K29" s="13" t="str">
        <f t="shared" si="0"/>
        <v>Standard Price</v>
      </c>
      <c r="L29" s="13" t="str">
        <f t="shared" si="1"/>
        <v>16</v>
      </c>
      <c r="M29" s="13" t="str">
        <f t="shared" si="2"/>
        <v>APR</v>
      </c>
      <c r="N29" s="14" t="str">
        <f t="shared" si="3"/>
        <v>ES</v>
      </c>
    </row>
    <row r="30" spans="1:14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"/>
      <c r="K30" s="15" t="str">
        <f t="shared" si="0"/>
        <v>Standard Price</v>
      </c>
      <c r="L30" s="15" t="str">
        <f t="shared" si="1"/>
        <v>07</v>
      </c>
      <c r="M30" s="15" t="str">
        <f t="shared" si="2"/>
        <v>MAR</v>
      </c>
      <c r="N30" s="16" t="str">
        <f t="shared" si="3"/>
        <v>CA</v>
      </c>
    </row>
    <row r="31" spans="1:14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"/>
      <c r="K31" s="13" t="str">
        <f t="shared" si="0"/>
        <v>Standard Price</v>
      </c>
      <c r="L31" s="13" t="str">
        <f t="shared" si="1"/>
        <v>13</v>
      </c>
      <c r="M31" s="13" t="str">
        <f t="shared" si="2"/>
        <v>APR</v>
      </c>
      <c r="N31" s="14" t="str">
        <f t="shared" si="3"/>
        <v>CA</v>
      </c>
    </row>
    <row r="32" spans="1:14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"/>
      <c r="K32" s="15" t="str">
        <f t="shared" si="0"/>
        <v>Standard Price</v>
      </c>
      <c r="L32" s="15" t="str">
        <f t="shared" si="1"/>
        <v>24</v>
      </c>
      <c r="M32" s="15" t="str">
        <f t="shared" si="2"/>
        <v>MAY</v>
      </c>
      <c r="N32" s="16" t="str">
        <f t="shared" si="3"/>
        <v>CA</v>
      </c>
    </row>
    <row r="33" spans="1:14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"/>
      <c r="K33" s="13" t="str">
        <f t="shared" si="0"/>
        <v>Standard Price</v>
      </c>
      <c r="L33" s="13" t="str">
        <f t="shared" si="1"/>
        <v>02</v>
      </c>
      <c r="M33" s="13" t="str">
        <f t="shared" si="2"/>
        <v>DEC</v>
      </c>
      <c r="N33" s="14" t="str">
        <f t="shared" si="3"/>
        <v>CA</v>
      </c>
    </row>
    <row r="34" spans="1:14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"/>
      <c r="K34" s="15" t="str">
        <f t="shared" si="0"/>
        <v>High Price</v>
      </c>
      <c r="L34" s="15" t="str">
        <f t="shared" si="1"/>
        <v>17</v>
      </c>
      <c r="M34" s="15" t="str">
        <f t="shared" si="2"/>
        <v>JUN</v>
      </c>
      <c r="N34" s="16" t="str">
        <f t="shared" si="3"/>
        <v>IN</v>
      </c>
    </row>
    <row r="35" spans="1:14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"/>
      <c r="K35" s="17" t="str">
        <f t="shared" si="0"/>
        <v>Standard Price</v>
      </c>
      <c r="L35" s="17" t="str">
        <f t="shared" si="1"/>
        <v>09</v>
      </c>
      <c r="M35" s="17" t="str">
        <f t="shared" si="2"/>
        <v>JUL</v>
      </c>
      <c r="N35" s="18" t="str">
        <f t="shared" si="3"/>
        <v>FR</v>
      </c>
    </row>
    <row r="36" spans="1:14" ht="15.75" customHeight="1" x14ac:dyDescent="0.25"/>
    <row r="37" spans="1:14" ht="15.75" customHeight="1" x14ac:dyDescent="0.25"/>
    <row r="38" spans="1:14" ht="15.75" customHeight="1" x14ac:dyDescent="0.25"/>
    <row r="39" spans="1:14" ht="15.75" customHeight="1" x14ac:dyDescent="0.25"/>
    <row r="40" spans="1:14" ht="15.75" customHeight="1" x14ac:dyDescent="0.25"/>
    <row r="41" spans="1:14" ht="15.75" customHeight="1" x14ac:dyDescent="0.25"/>
    <row r="42" spans="1:14" ht="15.75" customHeight="1" x14ac:dyDescent="0.25"/>
    <row r="43" spans="1:14" ht="15.75" customHeight="1" x14ac:dyDescent="0.25"/>
    <row r="44" spans="1:14" ht="15.75" customHeight="1" x14ac:dyDescent="0.25"/>
    <row r="45" spans="1:14" ht="15.75" customHeight="1" x14ac:dyDescent="0.25"/>
    <row r="46" spans="1:14" ht="15.75" customHeight="1" x14ac:dyDescent="0.25"/>
    <row r="47" spans="1:14" ht="15.75" customHeight="1" x14ac:dyDescent="0.25"/>
    <row r="48" spans="1:1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B77988-F6B5-47FD-B9CE-B13C1D569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Jayakrishna V</cp:lastModifiedBy>
  <cp:lastPrinted>2026-07-21T07:47:08Z</cp:lastPrinted>
  <dcterms:modified xsi:type="dcterms:W3CDTF">2026-07-21T12:00:09Z</dcterms:modified>
</cp:coreProperties>
</file>